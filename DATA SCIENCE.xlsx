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er\Desktop\"/>
    </mc:Choice>
  </mc:AlternateContent>
  <xr:revisionPtr revIDLastSave="0" documentId="13_ncr:1_{7317AC91-6600-4451-B91A-FF45647DAAE5}" xr6:coauthVersionLast="47" xr6:coauthVersionMax="47" xr10:uidLastSave="{00000000-0000-0000-0000-000000000000}"/>
  <bookViews>
    <workbookView xWindow="-108" yWindow="-108" windowWidth="23256" windowHeight="12456" activeTab="2" xr2:uid="{E9C02F4E-69EB-4E48-82BC-9BC6593CDBBD}"/>
  </bookViews>
  <sheets>
    <sheet name="Sheet1" sheetId="1" r:id="rId1"/>
    <sheet name="OLD PAYROLL" sheetId="2" r:id="rId2"/>
    <sheet name="NEW PAYRO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2" i="3"/>
  <c r="F9" i="2"/>
  <c r="F10" i="2"/>
  <c r="F11" i="2"/>
  <c r="F8" i="2"/>
  <c r="D9" i="2"/>
  <c r="D10" i="2"/>
  <c r="D11" i="2"/>
  <c r="D8" i="2"/>
  <c r="C1" i="2"/>
  <c r="C2" i="2"/>
  <c r="C3" i="2"/>
  <c r="C4" i="2"/>
  <c r="C5" i="2"/>
  <c r="E5" i="1"/>
  <c r="E13" i="1"/>
  <c r="E19" i="1" l="1"/>
</calcChain>
</file>

<file path=xl/sharedStrings.xml><?xml version="1.0" encoding="utf-8"?>
<sst xmlns="http://schemas.openxmlformats.org/spreadsheetml/2006/main" count="49" uniqueCount="37">
  <si>
    <t>DATE</t>
  </si>
  <si>
    <t>SALES PERSON</t>
  </si>
  <si>
    <t>ITEM</t>
  </si>
  <si>
    <t>RECPITE NO.</t>
  </si>
  <si>
    <t>AMOUNT</t>
  </si>
  <si>
    <t>BALPREET</t>
  </si>
  <si>
    <t>TOY</t>
  </si>
  <si>
    <t>STATIONARY</t>
  </si>
  <si>
    <t>BAG</t>
  </si>
  <si>
    <t>BALPREET'S TOTAL</t>
  </si>
  <si>
    <t>CARDS</t>
  </si>
  <si>
    <t>BOOKS</t>
  </si>
  <si>
    <t>TOYS</t>
  </si>
  <si>
    <t>JASS</t>
  </si>
  <si>
    <t>JASS'S TOTAL</t>
  </si>
  <si>
    <t>GRAND TOTAL</t>
  </si>
  <si>
    <t>Sum</t>
  </si>
  <si>
    <t>Average</t>
  </si>
  <si>
    <t>Running Total</t>
  </si>
  <si>
    <t>Count</t>
  </si>
  <si>
    <t>Column1</t>
  </si>
  <si>
    <t>Column2</t>
  </si>
  <si>
    <t>Column3</t>
  </si>
  <si>
    <t>Column4</t>
  </si>
  <si>
    <t>Column5</t>
  </si>
  <si>
    <t>PRIYA</t>
  </si>
  <si>
    <t>RIYA</t>
  </si>
  <si>
    <t>RAJ</t>
  </si>
  <si>
    <t>SIMRAN</t>
  </si>
  <si>
    <t>NAME</t>
  </si>
  <si>
    <t>BASIC PAY</t>
  </si>
  <si>
    <t>ALLOWANCE</t>
  </si>
  <si>
    <t>GROSS SALARY</t>
  </si>
  <si>
    <t>DEDUCTION</t>
  </si>
  <si>
    <t>NET SALARY</t>
  </si>
  <si>
    <t>CURRENT PAY</t>
  </si>
  <si>
    <t>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</si>
</sst>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10">
    <dxf>
      <numFmt numFmtId="21" formatCode="dd/mmm"/>
    </dxf>
    <dxf>
      <border diagonalUp="0" diagonalDown="0" outline="0">
        <left style="double">
          <color auto="1"/>
        </left>
        <right style="double">
          <color auto="1"/>
        </right>
        <top/>
        <bottom/>
      </border>
    </dxf>
    <dxf>
      <border diagonalUp="0" diagonalDown="0">
        <left style="double">
          <color auto="1"/>
        </left>
        <right/>
        <top style="double">
          <color auto="1"/>
        </top>
        <bottom style="double">
          <color auto="1"/>
        </bottom>
        <vertical/>
        <horizontal/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numFmt numFmtId="21" formatCode="dd/mmm"/>
      <border diagonalUp="0" diagonalDown="0">
        <left/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border outline="0">
        <top style="double">
          <color auto="1"/>
        </top>
      </border>
    </dxf>
    <dxf>
      <border outline="0">
        <bottom style="double">
          <color auto="1"/>
        </bottom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8580C-19B1-4898-8512-EB501FD3CE95}" name="Table1" displayName="Table1" ref="A1:E5" totalsRowShown="0" headerRowDxfId="1" headerRowBorderDxfId="8" tableBorderDxfId="9" totalsRowBorderDxfId="7">
  <autoFilter ref="A1:E5" xr:uid="{B068580C-19B1-4898-8512-EB501FD3CE95}"/>
  <tableColumns count="5">
    <tableColumn id="1" xr3:uid="{CD7DF431-CFB8-4BE1-BF1F-A1F2EB0D57A9}" name="DATE" dataDxfId="6"/>
    <tableColumn id="2" xr3:uid="{E2D456BD-A48D-4E6D-8141-923A5ED636C9}" name="SALES PERSON" dataDxfId="5"/>
    <tableColumn id="3" xr3:uid="{87E4709C-7132-43C3-BE91-208248BABE88}" name="ITEM" dataDxfId="4"/>
    <tableColumn id="4" xr3:uid="{32FB3D60-0B20-45E5-830C-AA9602D22303}" name="RECPITE NO." dataDxfId="3"/>
    <tableColumn id="5" xr3:uid="{F4C7284D-464C-4550-A4C2-C4C9162A7252}" name="AMOU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249A92-DFED-4A39-AA2F-A19DC8EC9042}" name="Table2" displayName="Table2" ref="A8:E13" totalsRowShown="0">
  <autoFilter ref="A8:E13" xr:uid="{2E249A92-DFED-4A39-AA2F-A19DC8EC9042}"/>
  <tableColumns count="5">
    <tableColumn id="1" xr3:uid="{B82E16DE-617F-4433-B0AE-BD392AFB5888}" name="Column1" dataDxfId="0"/>
    <tableColumn id="2" xr3:uid="{BCBCB31C-518F-4C90-B6FD-15B1535845C1}" name="Column2"/>
    <tableColumn id="3" xr3:uid="{F805421B-81C0-4257-AE89-2A98250768B4}" name="Column3"/>
    <tableColumn id="4" xr3:uid="{02FFCF3A-6149-4DFC-86F0-B05BBA5DE1FF}" name="Column4"/>
    <tableColumn id="5" xr3:uid="{A10DC5EC-0DBA-4B93-B513-5EB98A71D84B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126D-3C01-4EBC-8BF4-E15384D47F95}">
  <dimension ref="A1:E19"/>
  <sheetViews>
    <sheetView workbookViewId="0">
      <selection activeCell="A17" sqref="A17"/>
    </sheetView>
  </sheetViews>
  <sheetFormatPr defaultRowHeight="14.4" x14ac:dyDescent="0.3"/>
  <cols>
    <col min="1" max="1" width="10.44140625" customWidth="1"/>
    <col min="2" max="2" width="15.33203125" customWidth="1"/>
    <col min="3" max="3" width="13.21875" customWidth="1"/>
    <col min="4" max="4" width="16" customWidth="1"/>
    <col min="5" max="5" width="11.33203125" customWidth="1"/>
  </cols>
  <sheetData>
    <row r="1" spans="1:5" ht="15" thickBot="1" x14ac:dyDescent="0.35">
      <c r="A1" s="5" t="s">
        <v>0</v>
      </c>
      <c r="B1" s="9" t="s">
        <v>1</v>
      </c>
      <c r="C1" s="9" t="s">
        <v>2</v>
      </c>
      <c r="D1" s="9" t="s">
        <v>3</v>
      </c>
      <c r="E1" s="4" t="s">
        <v>4</v>
      </c>
    </row>
    <row r="2" spans="1:5" ht="15.6" thickTop="1" thickBot="1" x14ac:dyDescent="0.35">
      <c r="A2" s="7">
        <v>46347</v>
      </c>
      <c r="B2" s="6" t="s">
        <v>5</v>
      </c>
      <c r="C2" s="6" t="s">
        <v>6</v>
      </c>
      <c r="D2" s="6">
        <v>1248</v>
      </c>
      <c r="E2" s="8">
        <v>1435</v>
      </c>
    </row>
    <row r="3" spans="1:5" ht="15.6" thickTop="1" thickBot="1" x14ac:dyDescent="0.35">
      <c r="A3" s="7">
        <v>46352</v>
      </c>
      <c r="B3" s="6" t="s">
        <v>5</v>
      </c>
      <c r="C3" s="6" t="s">
        <v>7</v>
      </c>
      <c r="D3" s="6">
        <v>1255</v>
      </c>
      <c r="E3" s="8">
        <v>2341</v>
      </c>
    </row>
    <row r="4" spans="1:5" ht="15.6" thickTop="1" thickBot="1" x14ac:dyDescent="0.35">
      <c r="A4" s="7">
        <v>46356</v>
      </c>
      <c r="B4" s="6" t="s">
        <v>5</v>
      </c>
      <c r="C4" s="6" t="s">
        <v>8</v>
      </c>
      <c r="D4" s="6">
        <v>1395</v>
      </c>
      <c r="E4" s="8">
        <v>2346</v>
      </c>
    </row>
    <row r="5" spans="1:5" ht="15" thickTop="1" x14ac:dyDescent="0.3">
      <c r="A5" s="3"/>
      <c r="B5" s="10"/>
      <c r="C5" s="10"/>
      <c r="D5" s="10" t="s">
        <v>9</v>
      </c>
      <c r="E5" s="2">
        <f>SUM(E2:E4)</f>
        <v>6122</v>
      </c>
    </row>
    <row r="8" spans="1:5" x14ac:dyDescent="0.3">
      <c r="A8" s="1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3">
      <c r="A9" s="1">
        <v>46347</v>
      </c>
      <c r="B9" t="s">
        <v>13</v>
      </c>
      <c r="C9" t="s">
        <v>10</v>
      </c>
      <c r="D9">
        <v>1141</v>
      </c>
      <c r="E9">
        <v>367.9</v>
      </c>
    </row>
    <row r="10" spans="1:5" x14ac:dyDescent="0.3">
      <c r="A10" s="1">
        <v>46350</v>
      </c>
      <c r="B10" t="s">
        <v>13</v>
      </c>
      <c r="C10" t="s">
        <v>11</v>
      </c>
      <c r="D10">
        <v>1982</v>
      </c>
      <c r="E10">
        <v>3564.8</v>
      </c>
    </row>
    <row r="11" spans="1:5" x14ac:dyDescent="0.3">
      <c r="A11" s="1">
        <v>46347</v>
      </c>
      <c r="B11" t="s">
        <v>13</v>
      </c>
      <c r="C11" t="s">
        <v>12</v>
      </c>
      <c r="D11">
        <v>585</v>
      </c>
      <c r="E11">
        <v>3547</v>
      </c>
    </row>
    <row r="12" spans="1:5" x14ac:dyDescent="0.3">
      <c r="A12" s="1">
        <v>46352</v>
      </c>
      <c r="B12" t="s">
        <v>13</v>
      </c>
      <c r="C12" t="s">
        <v>12</v>
      </c>
      <c r="D12">
        <v>575</v>
      </c>
      <c r="E12">
        <v>2456.6999999999998</v>
      </c>
    </row>
    <row r="13" spans="1:5" x14ac:dyDescent="0.3">
      <c r="D13" t="s">
        <v>14</v>
      </c>
      <c r="E13">
        <f>SUM(E9+E10+E11+E12)</f>
        <v>9936.4000000000015</v>
      </c>
    </row>
    <row r="19" spans="4:5" x14ac:dyDescent="0.3">
      <c r="D19" s="11" t="s">
        <v>15</v>
      </c>
      <c r="E19" s="11">
        <f>SUM(E5+E13)</f>
        <v>16058.400000000001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E3AC-2EF1-42A2-8BA5-D34AFD914A2B}">
  <dimension ref="A1:F11"/>
  <sheetViews>
    <sheetView workbookViewId="0">
      <selection activeCell="C25" sqref="C25"/>
    </sheetView>
  </sheetViews>
  <sheetFormatPr defaultRowHeight="14.4" x14ac:dyDescent="0.3"/>
  <cols>
    <col min="3" max="3" width="12.5546875" customWidth="1"/>
    <col min="4" max="4" width="18.5546875" customWidth="1"/>
    <col min="5" max="5" width="14.33203125" customWidth="1"/>
  </cols>
  <sheetData>
    <row r="1" spans="1:6" x14ac:dyDescent="0.3">
      <c r="A1">
        <v>1</v>
      </c>
      <c r="B1">
        <v>342</v>
      </c>
      <c r="C1">
        <f>SUM(B1+$A$1)</f>
        <v>343</v>
      </c>
    </row>
    <row r="2" spans="1:6" x14ac:dyDescent="0.3">
      <c r="A2">
        <v>2</v>
      </c>
      <c r="B2">
        <v>234</v>
      </c>
      <c r="C2">
        <f t="shared" ref="C2:C5" si="0">SUM(B2+$A$1)</f>
        <v>235</v>
      </c>
    </row>
    <row r="3" spans="1:6" x14ac:dyDescent="0.3">
      <c r="A3">
        <v>3</v>
      </c>
      <c r="B3">
        <v>347</v>
      </c>
      <c r="C3">
        <f t="shared" si="0"/>
        <v>348</v>
      </c>
    </row>
    <row r="4" spans="1:6" x14ac:dyDescent="0.3">
      <c r="A4">
        <v>4</v>
      </c>
      <c r="B4">
        <v>567</v>
      </c>
      <c r="C4">
        <f t="shared" si="0"/>
        <v>568</v>
      </c>
    </row>
    <row r="5" spans="1:6" x14ac:dyDescent="0.3">
      <c r="A5">
        <v>5</v>
      </c>
      <c r="B5">
        <v>348</v>
      </c>
      <c r="C5">
        <f t="shared" si="0"/>
        <v>349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3">
      <c r="A8" t="s">
        <v>25</v>
      </c>
      <c r="B8">
        <v>456</v>
      </c>
      <c r="C8">
        <v>3456</v>
      </c>
      <c r="D8">
        <f>SUM(C8+B8)</f>
        <v>3912</v>
      </c>
      <c r="E8">
        <v>5649</v>
      </c>
      <c r="F8">
        <f>SUM(D8,E8)</f>
        <v>9561</v>
      </c>
    </row>
    <row r="9" spans="1:6" x14ac:dyDescent="0.3">
      <c r="A9" t="s">
        <v>26</v>
      </c>
      <c r="B9">
        <v>456</v>
      </c>
      <c r="C9">
        <v>2457</v>
      </c>
      <c r="D9">
        <f t="shared" ref="D9:D11" si="1">SUM(C9+B9)</f>
        <v>2913</v>
      </c>
      <c r="E9">
        <v>2456</v>
      </c>
      <c r="F9">
        <f t="shared" ref="F9:F11" si="2">SUM(D9,E9)</f>
        <v>5369</v>
      </c>
    </row>
    <row r="10" spans="1:6" x14ac:dyDescent="0.3">
      <c r="A10" t="s">
        <v>27</v>
      </c>
      <c r="B10">
        <v>876</v>
      </c>
      <c r="C10">
        <v>5747</v>
      </c>
      <c r="D10">
        <f t="shared" si="1"/>
        <v>6623</v>
      </c>
      <c r="E10">
        <v>5476</v>
      </c>
      <c r="F10">
        <f t="shared" si="2"/>
        <v>12099</v>
      </c>
    </row>
    <row r="11" spans="1:6" x14ac:dyDescent="0.3">
      <c r="A11" t="s">
        <v>28</v>
      </c>
      <c r="B11">
        <v>976</v>
      </c>
      <c r="C11">
        <v>9354</v>
      </c>
      <c r="D11">
        <f t="shared" si="1"/>
        <v>10330</v>
      </c>
      <c r="E11">
        <v>9435</v>
      </c>
      <c r="F11">
        <f t="shared" si="2"/>
        <v>19765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8528-E4E8-4DD7-A718-0AD0E2DC2C78}">
  <dimension ref="A1:D5"/>
  <sheetViews>
    <sheetView tabSelected="1" workbookViewId="0">
      <selection activeCell="D2" sqref="D2:D5"/>
    </sheetView>
  </sheetViews>
  <sheetFormatPr defaultRowHeight="14.4" x14ac:dyDescent="0.3"/>
  <cols>
    <col min="2" max="3" width="13.109375" customWidth="1"/>
    <col min="4" max="4" width="15.21875" customWidth="1"/>
  </cols>
  <sheetData>
    <row r="1" spans="1:4" x14ac:dyDescent="0.3">
      <c r="A1" t="s">
        <v>29</v>
      </c>
      <c r="B1" t="s">
        <v>35</v>
      </c>
      <c r="C1" t="s">
        <v>36</v>
      </c>
      <c r="D1" t="s">
        <v>36</v>
      </c>
    </row>
    <row r="2" spans="1:4" x14ac:dyDescent="0.3">
      <c r="A2" t="s">
        <v>25</v>
      </c>
      <c r="B2">
        <v>38665</v>
      </c>
      <c r="C2" s="12">
        <v>0.21</v>
      </c>
      <c r="D2">
        <f>B2*C2</f>
        <v>8119.65</v>
      </c>
    </row>
    <row r="3" spans="1:4" x14ac:dyDescent="0.3">
      <c r="A3" t="s">
        <v>26</v>
      </c>
      <c r="B3">
        <v>375568</v>
      </c>
      <c r="C3" s="12">
        <v>0.14000000000000001</v>
      </c>
      <c r="D3">
        <f t="shared" ref="D3:D5" si="0">B3*C3</f>
        <v>52579.520000000004</v>
      </c>
    </row>
    <row r="4" spans="1:4" x14ac:dyDescent="0.3">
      <c r="A4" t="s">
        <v>27</v>
      </c>
      <c r="B4">
        <v>24566</v>
      </c>
      <c r="C4" s="12">
        <v>0.35</v>
      </c>
      <c r="D4">
        <f t="shared" si="0"/>
        <v>8598.0999999999985</v>
      </c>
    </row>
    <row r="5" spans="1:4" x14ac:dyDescent="0.3">
      <c r="A5" t="s">
        <v>28</v>
      </c>
      <c r="B5">
        <v>26535</v>
      </c>
      <c r="C5" s="12">
        <v>0.42</v>
      </c>
      <c r="D5">
        <f t="shared" si="0"/>
        <v>11144.699999999999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OLD PAYROLL</vt:lpstr>
      <vt:lpstr>NEW 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inderjeet saini</dc:creator>
  <cp:lastModifiedBy>inderjeet saini</cp:lastModifiedBy>
  <dcterms:created xsi:type="dcterms:W3CDTF">2026-01-11T03:21:40Z</dcterms:created>
  <dcterms:modified xsi:type="dcterms:W3CDTF">2026-01-12T05:53:14Z</dcterms:modified>
</cp:coreProperties>
</file>